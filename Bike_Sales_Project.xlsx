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ta Science\projects\Alex the Data Analyst\"/>
    </mc:Choice>
  </mc:AlternateContent>
  <xr:revisionPtr revIDLastSave="0" documentId="13_ncr:1_{B2540D44-4C1D-477A-962A-24536CBCB526}" xr6:coauthVersionLast="47" xr6:coauthVersionMax="47" xr10:uidLastSave="{00000000-0000-0000-0000-000000000000}"/>
  <bookViews>
    <workbookView xWindow="11424" yWindow="0" windowWidth="11712" windowHeight="12336" activeTab="3" xr2:uid="{00000000-000D-0000-FFFF-FFFF00000000}"/>
  </bookViews>
  <sheets>
    <sheet name="bike_buyers" sheetId="1" r:id="rId1"/>
    <sheet name="Working sheet " sheetId="4" r:id="rId2"/>
    <sheet name="Pivot Table" sheetId="3" r:id="rId3"/>
    <sheet name="Dashboard" sheetId="2" r:id="rId4"/>
  </sheets>
  <definedNames>
    <definedName name="_xlnm._FilterDatabase" localSheetId="0" hidden="1">bike_buyers!$A$1:$M$1001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<sst xmlns="http://schemas.openxmlformats.org/spreadsheetml/2006/main" count="16266" uniqueCount="50">
  <si>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</si>
  <si>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</si>
  <si>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</si>
  <si>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</si>
  <si>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</si>
  <si>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</si>
  <si>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</si>
  <si>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</si>
  <si>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</si>
  <si>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</si>
  <si>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</si>
  <si>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</si>
  <si>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</si>
  <si>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</si>
  <si>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</si>
  <si>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</si>
  <si>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</si>
  <si>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</si>
  <si>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</si>
  <si>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</si>
  <si>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</si>
  <si>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</si>
  <si>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</si>
  <si>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</si>
  <si>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</si>
  <si>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</si>
  <si>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</si>
  <si>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</si>
  <si>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</si>
  <si>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</si>
  <si>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</si>
  <si>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</si>
  <si>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</si>
  <si>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</si>
  <si>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</si>
  <si>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</si>
  <si>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</si>
  <si>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</si>
  <si>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</si>
  <si>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</si>
  <si>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</si>
  <si>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</si>
  <si>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</si>
  <si>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</si>
  <si>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</si>
  <si>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</si>
  <si>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Moret than 10 miles</t>
  </si>
  <si>
    <t>Adult</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</si>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</sst>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2"/>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70588.23529411765</c:v>
                </c:pt>
                <c:pt idx="1">
                  <c:v>97500</c:v>
                </c:pt>
              </c:numCache>
            </c:numRef>
          </c:val>
          <c:extLst>
            <c:ext xmlns:c16="http://schemas.microsoft.com/office/drawing/2014/chart" uri="{C3380CC4-5D6E-409C-BE32-E72D297353CC}">
              <c16:uniqueId val="{00000000-AC27-4843-8614-B6558565DA5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64705.882352941175</c:v>
                </c:pt>
                <c:pt idx="1">
                  <c:v>78750</c:v>
                </c:pt>
              </c:numCache>
            </c:numRef>
          </c:val>
          <c:extLst>
            <c:ext xmlns:c16="http://schemas.microsoft.com/office/drawing/2014/chart" uri="{C3380CC4-5D6E-409C-BE32-E72D297353CC}">
              <c16:uniqueId val="{00000001-AC27-4843-8614-B6558565DA50}"/>
            </c:ext>
          </c:extLst>
        </c:ser>
        <c:dLbls>
          <c:showLegendKey val="0"/>
          <c:showVal val="0"/>
          <c:showCatName val="0"/>
          <c:showSerName val="0"/>
          <c:showPercent val="0"/>
          <c:showBubbleSize val="0"/>
        </c:dLbls>
        <c:gapWidth val="219"/>
        <c:overlap val="-27"/>
        <c:axId val="228441248"/>
        <c:axId val="228441728"/>
      </c:barChart>
      <c:catAx>
        <c:axId val="22844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41728"/>
        <c:crosses val="autoZero"/>
        <c:auto val="1"/>
        <c:lblAlgn val="ctr"/>
        <c:lblOffset val="100"/>
        <c:noMultiLvlLbl val="0"/>
      </c:catAx>
      <c:valAx>
        <c:axId val="22844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4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vs. Purchase of Bike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Moret than 10 miles</c:v>
                </c:pt>
              </c:strCache>
            </c:strRef>
          </c:cat>
          <c:val>
            <c:numRef>
              <c:f>'Pivot Table'!$B$24:$B$29</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407D-4D2B-971C-978C5F8B6B6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Moret than 10 miles</c:v>
                </c:pt>
              </c:strCache>
            </c:strRef>
          </c:cat>
          <c:val>
            <c:numRef>
              <c:f>'Pivot Table'!$C$24:$C$29</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407D-4D2B-971C-978C5F8B6B63}"/>
            </c:ext>
          </c:extLst>
        </c:ser>
        <c:dLbls>
          <c:showLegendKey val="0"/>
          <c:showVal val="0"/>
          <c:showCatName val="0"/>
          <c:showSerName val="0"/>
          <c:showPercent val="0"/>
          <c:showBubbleSize val="0"/>
        </c:dLbls>
        <c:smooth val="0"/>
        <c:axId val="806006400"/>
        <c:axId val="806006880"/>
      </c:lineChart>
      <c:catAx>
        <c:axId val="80600640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880"/>
        <c:crosses val="autoZero"/>
        <c:auto val="1"/>
        <c:lblAlgn val="ctr"/>
        <c:lblOffset val="100"/>
        <c:noMultiLvlLbl val="0"/>
      </c:catAx>
      <c:valAx>
        <c:axId val="806006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Purchase of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 According to Age Group </a:t>
            </a:r>
          </a:p>
        </c:rich>
      </c:tx>
      <c:layout>
        <c:manualLayout>
          <c:xMode val="edge"/>
          <c:yMode val="edge"/>
          <c:x val="0.17853321568794669"/>
          <c:y val="0.111061219371283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Table'!$A$43:$A$45</c:f>
              <c:strCache>
                <c:ptCount val="2"/>
                <c:pt idx="0">
                  <c:v>Adult</c:v>
                </c:pt>
                <c:pt idx="1">
                  <c:v>Old</c:v>
                </c:pt>
              </c:strCache>
            </c:strRef>
          </c:cat>
          <c:val>
            <c:numRef>
              <c:f>'Pivot Table'!$B$43:$B$45</c:f>
              <c:numCache>
                <c:formatCode>General</c:formatCode>
                <c:ptCount val="2"/>
                <c:pt idx="0">
                  <c:v>15</c:v>
                </c:pt>
                <c:pt idx="1">
                  <c:v>6</c:v>
                </c:pt>
              </c:numCache>
            </c:numRef>
          </c:val>
          <c:smooth val="0"/>
          <c:extLst>
            <c:ext xmlns:c16="http://schemas.microsoft.com/office/drawing/2014/chart" uri="{C3380CC4-5D6E-409C-BE32-E72D297353CC}">
              <c16:uniqueId val="{00000000-5237-40A4-A79C-B1B08C428EE1}"/>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Table'!$A$43:$A$45</c:f>
              <c:strCache>
                <c:ptCount val="2"/>
                <c:pt idx="0">
                  <c:v>Adult</c:v>
                </c:pt>
                <c:pt idx="1">
                  <c:v>Old</c:v>
                </c:pt>
              </c:strCache>
            </c:strRef>
          </c:cat>
          <c:val>
            <c:numRef>
              <c:f>'Pivot Table'!$C$43:$C$45</c:f>
              <c:numCache>
                <c:formatCode>General</c:formatCode>
                <c:ptCount val="2"/>
                <c:pt idx="0">
                  <c:v>21</c:v>
                </c:pt>
                <c:pt idx="1">
                  <c:v>4</c:v>
                </c:pt>
              </c:numCache>
            </c:numRef>
          </c:val>
          <c:smooth val="0"/>
          <c:extLst>
            <c:ext xmlns:c16="http://schemas.microsoft.com/office/drawing/2014/chart" uri="{C3380CC4-5D6E-409C-BE32-E72D297353CC}">
              <c16:uniqueId val="{00000001-5237-40A4-A79C-B1B08C428EE1}"/>
            </c:ext>
          </c:extLst>
        </c:ser>
        <c:dLbls>
          <c:showLegendKey val="0"/>
          <c:showVal val="0"/>
          <c:showCatName val="0"/>
          <c:showSerName val="0"/>
          <c:showPercent val="0"/>
          <c:showBubbleSize val="0"/>
        </c:dLbls>
        <c:smooth val="0"/>
        <c:axId val="741154047"/>
        <c:axId val="741150207"/>
      </c:lineChart>
      <c:catAx>
        <c:axId val="74115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50207"/>
        <c:crosses val="autoZero"/>
        <c:auto val="1"/>
        <c:lblAlgn val="ctr"/>
        <c:lblOffset val="100"/>
        <c:noMultiLvlLbl val="0"/>
      </c:catAx>
      <c:valAx>
        <c:axId val="74115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70588.23529411765</c:v>
                </c:pt>
                <c:pt idx="1">
                  <c:v>97500</c:v>
                </c:pt>
              </c:numCache>
            </c:numRef>
          </c:val>
          <c:extLst>
            <c:ext xmlns:c16="http://schemas.microsoft.com/office/drawing/2014/chart" uri="{C3380CC4-5D6E-409C-BE32-E72D297353CC}">
              <c16:uniqueId val="{00000000-3853-45F2-97C3-34F8A131376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64705.882352941175</c:v>
                </c:pt>
                <c:pt idx="1">
                  <c:v>78750</c:v>
                </c:pt>
              </c:numCache>
            </c:numRef>
          </c:val>
          <c:extLst>
            <c:ext xmlns:c16="http://schemas.microsoft.com/office/drawing/2014/chart" uri="{C3380CC4-5D6E-409C-BE32-E72D297353CC}">
              <c16:uniqueId val="{00000001-3853-45F2-97C3-34F8A131376D}"/>
            </c:ext>
          </c:extLst>
        </c:ser>
        <c:dLbls>
          <c:showLegendKey val="0"/>
          <c:showVal val="0"/>
          <c:showCatName val="0"/>
          <c:showSerName val="0"/>
          <c:showPercent val="0"/>
          <c:showBubbleSize val="0"/>
        </c:dLbls>
        <c:gapWidth val="219"/>
        <c:overlap val="-27"/>
        <c:axId val="228441248"/>
        <c:axId val="228441728"/>
      </c:barChart>
      <c:catAx>
        <c:axId val="22844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41728"/>
        <c:crosses val="autoZero"/>
        <c:auto val="1"/>
        <c:lblAlgn val="ctr"/>
        <c:lblOffset val="100"/>
        <c:noMultiLvlLbl val="0"/>
      </c:catAx>
      <c:valAx>
        <c:axId val="22844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4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vs. Purchase of Bike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Moret than 10 miles</c:v>
                </c:pt>
              </c:strCache>
            </c:strRef>
          </c:cat>
          <c:val>
            <c:numRef>
              <c:f>'Pivot Table'!$B$24:$B$29</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D635-4AA6-9219-24DCFDD3214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Moret than 10 miles</c:v>
                </c:pt>
              </c:strCache>
            </c:strRef>
          </c:cat>
          <c:val>
            <c:numRef>
              <c:f>'Pivot Table'!$C$24:$C$29</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D635-4AA6-9219-24DCFDD3214F}"/>
            </c:ext>
          </c:extLst>
        </c:ser>
        <c:dLbls>
          <c:showLegendKey val="0"/>
          <c:showVal val="0"/>
          <c:showCatName val="0"/>
          <c:showSerName val="0"/>
          <c:showPercent val="0"/>
          <c:showBubbleSize val="0"/>
        </c:dLbls>
        <c:smooth val="0"/>
        <c:axId val="806006400"/>
        <c:axId val="806006880"/>
      </c:lineChart>
      <c:catAx>
        <c:axId val="80600640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880"/>
        <c:crosses val="autoZero"/>
        <c:auto val="1"/>
        <c:lblAlgn val="ctr"/>
        <c:lblOffset val="100"/>
        <c:noMultiLvlLbl val="0"/>
      </c:catAx>
      <c:valAx>
        <c:axId val="806006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Purchase of Bike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0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of Bike According to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Table'!$A$43:$A$45</c:f>
              <c:strCache>
                <c:ptCount val="2"/>
                <c:pt idx="0">
                  <c:v>Adult</c:v>
                </c:pt>
                <c:pt idx="1">
                  <c:v>Old</c:v>
                </c:pt>
              </c:strCache>
            </c:strRef>
          </c:cat>
          <c:val>
            <c:numRef>
              <c:f>'Pivot Table'!$B$43:$B$45</c:f>
              <c:numCache>
                <c:formatCode>General</c:formatCode>
                <c:ptCount val="2"/>
                <c:pt idx="0">
                  <c:v>15</c:v>
                </c:pt>
                <c:pt idx="1">
                  <c:v>6</c:v>
                </c:pt>
              </c:numCache>
            </c:numRef>
          </c:val>
          <c:smooth val="0"/>
          <c:extLst>
            <c:ext xmlns:c16="http://schemas.microsoft.com/office/drawing/2014/chart" uri="{C3380CC4-5D6E-409C-BE32-E72D297353CC}">
              <c16:uniqueId val="{00000000-EC31-4A25-8C37-3E40DA87E524}"/>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Table'!$A$43:$A$45</c:f>
              <c:strCache>
                <c:ptCount val="2"/>
                <c:pt idx="0">
                  <c:v>Adult</c:v>
                </c:pt>
                <c:pt idx="1">
                  <c:v>Old</c:v>
                </c:pt>
              </c:strCache>
            </c:strRef>
          </c:cat>
          <c:val>
            <c:numRef>
              <c:f>'Pivot Table'!$C$43:$C$45</c:f>
              <c:numCache>
                <c:formatCode>General</c:formatCode>
                <c:ptCount val="2"/>
                <c:pt idx="0">
                  <c:v>21</c:v>
                </c:pt>
                <c:pt idx="1">
                  <c:v>4</c:v>
                </c:pt>
              </c:numCache>
            </c:numRef>
          </c:val>
          <c:smooth val="0"/>
          <c:extLst>
            <c:ext xmlns:c16="http://schemas.microsoft.com/office/drawing/2014/chart" uri="{C3380CC4-5D6E-409C-BE32-E72D297353CC}">
              <c16:uniqueId val="{00000001-EC31-4A25-8C37-3E40DA87E524}"/>
            </c:ext>
          </c:extLst>
        </c:ser>
        <c:dLbls>
          <c:showLegendKey val="0"/>
          <c:showVal val="0"/>
          <c:showCatName val="0"/>
          <c:showSerName val="0"/>
          <c:showPercent val="0"/>
          <c:showBubbleSize val="0"/>
        </c:dLbls>
        <c:smooth val="0"/>
        <c:axId val="741154047"/>
        <c:axId val="741150207"/>
      </c:lineChart>
      <c:catAx>
        <c:axId val="74115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50207"/>
        <c:crosses val="autoZero"/>
        <c:auto val="1"/>
        <c:lblAlgn val="ctr"/>
        <c:lblOffset val="100"/>
        <c:noMultiLvlLbl val="0"/>
      </c:catAx>
      <c:valAx>
        <c:axId val="74115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86590</xdr:colOff>
      <xdr:row>0</xdr:row>
      <xdr:rowOff>0</xdr:rowOff>
    </xdr:from>
    <xdr:to>
      <xdr:col>12</xdr:col>
      <xdr:colOff>67887</xdr:colOff>
      <xdr:row>15</xdr:row>
      <xdr:rowOff>1</xdr:rowOff>
    </xdr:to>
    <xdr:graphicFrame macro="">
      <xdr:nvGraphicFramePr>
        <xdr:cNvPr id="2" name="Chart 1">
          <a:extLst>
            <a:ext uri="{FF2B5EF4-FFF2-40B4-BE49-F238E27FC236}">
              <a16:creationId xmlns:a16="http://schemas.microsoft.com/office/drawing/2014/main" id="{49789A64-7680-F64F-0CA4-CF9D3EF9C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277571</xdr:colOff>
      <xdr:row>19</xdr:row>
      <xdr:rowOff>2625</xdr:rowOff>
    </xdr:from>
    <xdr:to>
      <xdr:col>11</xdr:col>
      <xdr:colOff>577455</xdr:colOff>
      <xdr:row>34</xdr:row>
      <xdr:rowOff>2625</xdr:rowOff>
    </xdr:to>
    <xdr:graphicFrame macro="">
      <xdr:nvGraphicFramePr>
        <xdr:cNvPr id="3" name="Chart 2">
          <a:extLst>
            <a:ext uri="{FF2B5EF4-FFF2-40B4-BE49-F238E27FC236}">
              <a16:creationId xmlns:a16="http://schemas.microsoft.com/office/drawing/2014/main" id="{897A28BC-09F6-020B-E85F-51E8F5EC4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278162</xdr:colOff>
      <xdr:row>38</xdr:row>
      <xdr:rowOff>112436</xdr:rowOff>
    </xdr:from>
    <xdr:to>
      <xdr:col>11</xdr:col>
      <xdr:colOff>584027</xdr:colOff>
      <xdr:row>53</xdr:row>
      <xdr:rowOff>130020</xdr:rowOff>
    </xdr:to>
    <xdr:graphicFrame macro="">
      <xdr:nvGraphicFramePr>
        <xdr:cNvPr id="4" name="Chart 3">
          <a:extLst>
            <a:ext uri="{FF2B5EF4-FFF2-40B4-BE49-F238E27FC236}">
              <a16:creationId xmlns:a16="http://schemas.microsoft.com/office/drawing/2014/main" id="{489314DC-B72B-1494-1607-9C2117B86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381001</xdr:colOff>
      <xdr:row>2</xdr:row>
      <xdr:rowOff>38101</xdr:rowOff>
    </xdr:from>
    <xdr:to>
      <xdr:col>9</xdr:col>
      <xdr:colOff>350521</xdr:colOff>
      <xdr:row>17</xdr:row>
      <xdr:rowOff>22860</xdr:rowOff>
    </xdr:to>
    <xdr:graphicFrame macro="">
      <xdr:nvGraphicFramePr>
        <xdr:cNvPr id="2" name="Chart 1">
          <a:extLst>
            <a:ext uri="{FF2B5EF4-FFF2-40B4-BE49-F238E27FC236}">
              <a16:creationId xmlns:a16="http://schemas.microsoft.com/office/drawing/2014/main" id="{66677AB1-9A56-44C7-B577-420BEA9F4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2</xdr:row>
      <xdr:rowOff>15240</xdr:rowOff>
    </xdr:from>
    <xdr:to>
      <xdr:col>15</xdr:col>
      <xdr:colOff>601980</xdr:colOff>
      <xdr:row>17</xdr:row>
      <xdr:rowOff>38100</xdr:rowOff>
    </xdr:to>
    <xdr:graphicFrame macro="">
      <xdr:nvGraphicFramePr>
        <xdr:cNvPr id="3" name="Chart 2">
          <a:extLst>
            <a:ext uri="{FF2B5EF4-FFF2-40B4-BE49-F238E27FC236}">
              <a16:creationId xmlns:a16="http://schemas.microsoft.com/office/drawing/2014/main" id="{8F1A2621-90BE-401B-A828-0D1648748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17</xdr:row>
      <xdr:rowOff>76200</xdr:rowOff>
    </xdr:from>
    <xdr:to>
      <xdr:col>16</xdr:col>
      <xdr:colOff>0</xdr:colOff>
      <xdr:row>30</xdr:row>
      <xdr:rowOff>174172</xdr:rowOff>
    </xdr:to>
    <xdr:graphicFrame macro="">
      <xdr:nvGraphicFramePr>
        <xdr:cNvPr id="4" name="Chart 3">
          <a:extLst>
            <a:ext uri="{FF2B5EF4-FFF2-40B4-BE49-F238E27FC236}">
              <a16:creationId xmlns:a16="http://schemas.microsoft.com/office/drawing/2014/main" id="{32B597CB-E026-4840-84BF-7E8C61855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2</xdr:row>
      <xdr:rowOff>22860</xdr:rowOff>
    </xdr:from>
    <xdr:to>
      <xdr:col>3</xdr:col>
      <xdr:colOff>365760</xdr:colOff>
      <xdr:row>7</xdr:row>
      <xdr:rowOff>45720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DFA6A08F-2AD4-F56A-A287-DCDFBB2B500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388620"/>
              <a:ext cx="218694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7</xdr:row>
      <xdr:rowOff>114300</xdr:rowOff>
    </xdr:from>
    <xdr:to>
      <xdr:col>3</xdr:col>
      <xdr:colOff>350520</xdr:colOff>
      <xdr:row>13</xdr:row>
      <xdr:rowOff>167640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FAD50D-CE40-2E23-7EE9-3DE1901638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394460"/>
              <a:ext cx="216408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38101</xdr:rowOff>
    </xdr:from>
    <xdr:to>
      <xdr:col>3</xdr:col>
      <xdr:colOff>335280</xdr:colOff>
      <xdr:row>23</xdr:row>
      <xdr:rowOff>21773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9418E3F0-0172-3C43-43BD-8DED600EE5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2598421"/>
              <a:ext cx="212598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3.580363425928" createdVersion="8" refreshedVersion="8" minRefreshableVersion="3" recordCount="1000" xr:uid="{6BEF9CFB-BCC0-4A19-8D81-E854914E8D78}">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t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Adult"/>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795036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0"/>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D4E392-8CE4-4832-85E9-E46796CD45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1DA7AF-68CA-43A7-8061-468A6F7205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5"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sortType="ascending">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DD10E-1663-41CE-A0DF-171B0C5D53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04EAE21-D757-4BCA-BFF6-7A6EE26D926D}" sourceName="Marital Status">
  <pivotTables>
    <pivotTable tabId="3" name="PivotTable1"/>
    <pivotTable tabId="3" name="PivotTable2"/>
    <pivotTable tabId="3" name="PivotTable3"/>
  </pivotTables>
  <data>
    <tabular pivotCacheId="79503676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7B4B8B-D5B8-4903-8D11-9596AC3D65EE}" sourceName="Region">
  <pivotTables>
    <pivotTable tabId="3" name="PivotTable1"/>
    <pivotTable tabId="3" name="PivotTable2"/>
    <pivotTable tabId="3" name="PivotTable3"/>
  </pivotTables>
  <data>
    <tabular pivotCacheId="795036765">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62A4342-0CF8-4B00-9BFF-28B7A1806172}" sourceName="Education">
  <pivotTables>
    <pivotTable tabId="3" name="PivotTable1"/>
    <pivotTable tabId="3" name="PivotTable2"/>
    <pivotTable tabId="3" name="PivotTable3"/>
  </pivotTables>
  <data>
    <tabular pivotCacheId="795036765">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E013347-6E4F-4200-92DA-B4A4CE58C62B}" cache="Slicer_Marital_Status" caption="Marital Status" rowHeight="234950"/>
  <slicer name="Region" xr10:uid="{A8BA20EA-4903-4D1A-80B8-E2C22CB7D5D1}" cache="Slicer_Region" caption="Region" rowHeight="234950"/>
  <slicer name="Education" xr10:uid="{5DDBB2D1-7438-4206-8ED3-16E5FE9D1B14}"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20" sqref="C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CEDD4-21B4-4ABE-8DA8-6DAD6DFC47D5}">
  <dimension ref="A1:N1001"/>
  <sheetViews>
    <sheetView zoomScale="78" zoomScaleNormal="78" workbookViewId="0">
      <selection activeCell="O16" sqref="O16"/>
    </sheetView>
  </sheetViews>
  <sheetFormatPr defaultRowHeight="14.4" x14ac:dyDescent="0.3"/>
  <cols>
    <col min="1" max="1" width="6" bestFit="1" customWidth="1"/>
    <col min="2" max="2" width="15.21875" bestFit="1" customWidth="1"/>
    <col min="3" max="3" width="9.77734375" bestFit="1" customWidth="1"/>
    <col min="4" max="4" width="11.109375" bestFit="1" customWidth="1"/>
    <col min="5" max="5" width="10.33203125" bestFit="1" customWidth="1"/>
    <col min="6" max="6" width="16.21875" bestFit="1" customWidth="1"/>
    <col min="7" max="7" width="12.88671875" bestFit="1" customWidth="1"/>
    <col min="8" max="8" width="14.44140625" bestFit="1" customWidth="1"/>
    <col min="9" max="9" width="7.21875" bestFit="1" customWidth="1"/>
    <col min="10" max="10" width="19.21875" bestFit="1" customWidth="1"/>
    <col min="11" max="11" width="12.88671875" bestFit="1" customWidth="1"/>
    <col min="12" max="12" width="7" bestFit="1" customWidth="1"/>
    <col min="13" max="13" width="7" customWidth="1"/>
    <col min="14" max="14" width="16.1093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_xlfn.IFS(L2&lt;31, "Youth",  L2&lt;54, "Adult", L2&gt;=54, "Old")</f>
        <v>Adult</v>
      </c>
      <c r="N2" t="s">
        <v>18</v>
      </c>
    </row>
    <row r="3" spans="1:14" x14ac:dyDescent="0.3">
      <c r="A3">
        <v>24107</v>
      </c>
      <c r="B3" t="s">
        <v>36</v>
      </c>
      <c r="C3" t="s">
        <v>39</v>
      </c>
      <c r="D3" s="1">
        <v>30000</v>
      </c>
      <c r="E3">
        <v>3</v>
      </c>
      <c r="F3" t="s">
        <v>19</v>
      </c>
      <c r="G3" t="s">
        <v>20</v>
      </c>
      <c r="H3" t="s">
        <v>15</v>
      </c>
      <c r="I3">
        <v>1</v>
      </c>
      <c r="J3" t="s">
        <v>16</v>
      </c>
      <c r="K3" t="s">
        <v>17</v>
      </c>
      <c r="L3">
        <v>43</v>
      </c>
      <c r="M3" t="str">
        <f t="shared" ref="M3:M66" si="0">_xlfn.IFS(L3&lt;31, "Youth",  L3&lt;54, "Adult", L3&gt;=54, "Old")</f>
        <v>Adult</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Adult</v>
      </c>
      <c r="N5" t="s">
        <v>15</v>
      </c>
    </row>
    <row r="6" spans="1:14" x14ac:dyDescent="0.3">
      <c r="A6">
        <v>25597</v>
      </c>
      <c r="B6" t="s">
        <v>37</v>
      </c>
      <c r="C6" t="s">
        <v>39</v>
      </c>
      <c r="D6" s="1">
        <v>30000</v>
      </c>
      <c r="E6">
        <v>0</v>
      </c>
      <c r="F6" t="s">
        <v>13</v>
      </c>
      <c r="G6" t="s">
        <v>20</v>
      </c>
      <c r="H6" t="s">
        <v>18</v>
      </c>
      <c r="I6">
        <v>0</v>
      </c>
      <c r="J6" t="s">
        <v>16</v>
      </c>
      <c r="K6" t="s">
        <v>17</v>
      </c>
      <c r="L6">
        <v>36</v>
      </c>
      <c r="M6" t="str">
        <f t="shared" si="0"/>
        <v>Adult</v>
      </c>
      <c r="N6" t="s">
        <v>15</v>
      </c>
    </row>
    <row r="7" spans="1:14" x14ac:dyDescent="0.3">
      <c r="A7">
        <v>13507</v>
      </c>
      <c r="B7" t="s">
        <v>36</v>
      </c>
      <c r="C7" t="s">
        <v>38</v>
      </c>
      <c r="D7" s="1">
        <v>10000</v>
      </c>
      <c r="E7">
        <v>2</v>
      </c>
      <c r="F7" t="s">
        <v>19</v>
      </c>
      <c r="G7" t="s">
        <v>25</v>
      </c>
      <c r="H7" t="s">
        <v>15</v>
      </c>
      <c r="I7">
        <v>0</v>
      </c>
      <c r="J7" t="s">
        <v>26</v>
      </c>
      <c r="K7" t="s">
        <v>17</v>
      </c>
      <c r="L7">
        <v>50</v>
      </c>
      <c r="M7" t="str">
        <f t="shared" si="0"/>
        <v>Adult</v>
      </c>
      <c r="N7" t="s">
        <v>18</v>
      </c>
    </row>
    <row r="8" spans="1:14" x14ac:dyDescent="0.3">
      <c r="A8">
        <v>27974</v>
      </c>
      <c r="B8" t="s">
        <v>37</v>
      </c>
      <c r="C8" t="s">
        <v>39</v>
      </c>
      <c r="D8" s="1">
        <v>160000</v>
      </c>
      <c r="E8">
        <v>2</v>
      </c>
      <c r="F8" t="s">
        <v>27</v>
      </c>
      <c r="G8" t="s">
        <v>28</v>
      </c>
      <c r="H8" t="s">
        <v>15</v>
      </c>
      <c r="I8">
        <v>4</v>
      </c>
      <c r="J8" t="s">
        <v>16</v>
      </c>
      <c r="K8" t="s">
        <v>24</v>
      </c>
      <c r="L8">
        <v>33</v>
      </c>
      <c r="M8" t="str">
        <f t="shared" si="0"/>
        <v>Adult</v>
      </c>
      <c r="N8" t="s">
        <v>15</v>
      </c>
    </row>
    <row r="9" spans="1:14" x14ac:dyDescent="0.3">
      <c r="A9">
        <v>19364</v>
      </c>
      <c r="B9" t="s">
        <v>36</v>
      </c>
      <c r="C9" t="s">
        <v>39</v>
      </c>
      <c r="D9" s="1">
        <v>40000</v>
      </c>
      <c r="E9">
        <v>1</v>
      </c>
      <c r="F9" t="s">
        <v>13</v>
      </c>
      <c r="G9" t="s">
        <v>14</v>
      </c>
      <c r="H9" t="s">
        <v>15</v>
      </c>
      <c r="I9">
        <v>0</v>
      </c>
      <c r="J9" t="s">
        <v>16</v>
      </c>
      <c r="K9" t="s">
        <v>17</v>
      </c>
      <c r="L9">
        <v>43</v>
      </c>
      <c r="M9" t="str">
        <f t="shared" si="0"/>
        <v>Adult</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Adult</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Adult</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0</v>
      </c>
      <c r="J15" t="s">
        <v>26</v>
      </c>
      <c r="K15" t="s">
        <v>17</v>
      </c>
      <c r="L15">
        <v>35</v>
      </c>
      <c r="M15" t="str">
        <f t="shared" si="0"/>
        <v>Adult</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Adult</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Adult</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Adult</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Adult</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Adult</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Adult</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Adult</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Adult</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Youth</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Adult</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Adult</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Adult</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Youth</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Adult</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Adult</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Adult</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Adult</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Youth</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Youth</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Adult</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Adult</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Adult</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Adult</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Adult</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Adult</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Adult</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Adult</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Adult</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Youth</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Adult</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Adult</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Old</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Adult</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Adult</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Adult</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Adult</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Adult</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Adult</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Adult</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Adult</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_xlfn.IFS(L67&lt;31, "Youth",  L67&lt;54, "Adult", L67&gt;=54, "Old")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Adult</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Adult</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Adult</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Youth</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Adult</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Adult</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Adult</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Adult</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Adult</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Youth</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Youth</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Adult</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Adult</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Adult</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Adult</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Youth</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Adult</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Youth</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Adult</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Adult</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Youth</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Adult</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Youth</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Youth</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Adult</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Adult</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Adult</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Adult</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Youth</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Adult</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Adult</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Adult</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Adult</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Adult</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Adult</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Youth</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Adult</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Adult</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Adult</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Adult</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Adult</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Adult</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Adult</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Adult</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Youth</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Youth</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Adult</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Adult</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Youth</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Adult</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Adult</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Adult</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Adult</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Adult</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Adult</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Adult</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_xlfn.IFS(L131&lt;31, "Youth",  L131&lt;54, "Adult", L131&gt;=54, "Old")</f>
        <v>Adult</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Adult</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Adult</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Adult</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Adult</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Adult</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Adult</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Adult</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Youth</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Adult</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Adult</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Adult</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Adult</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Adult</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Adult</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Youth</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Adult</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Adult</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Adult</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Adult</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Adult</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Adult</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Adult</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Adult</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Adult</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Adult</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Adult</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Adult</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Youth</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Youth</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Adult</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Adult</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Adult</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Adult</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Adult</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Youth</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Adult</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Adult</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Youth</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Adult</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Adult</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Adult</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Adult</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Adult</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Adult</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Adult</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Adult</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_xlfn.IFS(L195&lt;31, "Youth",  L195&lt;54, "Adult", L195&gt;=54, "Old")</f>
        <v>Adult</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Adult</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Youth</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Adult</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Adult</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Adult</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Adult</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Youth</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Adult</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Adult</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Adult</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Adult</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Youth</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Adult</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Adult</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Adult</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Adult</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Youth</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Adult</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Youth</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Adult</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Youth</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Adult</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Adult</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Adult</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Adult</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Adult</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Adult</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Adult</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Adult</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Adult</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Adult</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Youth</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Adult</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Adult</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Youth</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Adult</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Adult</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Adult</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Youth</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Adult</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Youth</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Adult</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Adult</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Adult</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Adult</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Adult</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Adult</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Adult</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Adult</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_xlfn.IFS(L259&lt;31, "Youth",  L259&lt;54, "Adult", L259&gt;=54, "Old")</f>
        <v>Adult</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Adult</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Adult</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Adult</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Adult</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Adult</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Adult</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Adult</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Youth</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Adult</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Adult</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Adult</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Adult</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Youth</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Adult</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Youth</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Adult</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Adult</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Adult</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Adult</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Adult</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Adult</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Adult</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Adult</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Adult</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Adult</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Adult</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Adult</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Adult</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Adult</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Adult</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Adult</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Adult</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Adult</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Adult</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Adult</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Adult</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Adult</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Adult</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Youth</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Adult</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Adult</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Adult</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Adult</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Adult</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Adult</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Adult</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Adult</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Adult</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Adult</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Adult</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Adult</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Adult</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_xlfn.IFS(L323&lt;31, "Youth",  L323&lt;54, "Adult", L323&gt;=54, "Old")</f>
        <v>Adult</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Adult</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Adult</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Adult</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Adult</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Youth</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Adult</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Adult</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Adult</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Youth</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Adult</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Adult</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Adult</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Adult</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Adult</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Adult</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Adult</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Youth</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Adult</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Adult</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Adult</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Adult</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Adult</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Adult</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Adult</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Adult</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Youth</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Youth</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Adult</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Adult</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Adult</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Adult</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Adult</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Adult</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Adult</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Youth</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Adult</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Youth</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Adult</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Adult</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Adult</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Adult</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Adult</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Adult</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Adult</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Adult</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Adult</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Youth</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Adult</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Adult</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Adult</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Youth</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Adult</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Adult</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Youth</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_xlfn.IFS(L387&lt;31, "Youth",  L387&lt;54, "Adult", L387&gt;=54, "Old")</f>
        <v>Adult</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Adult</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Adult</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Adult</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Adult</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Adult</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Adult</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Adult</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Adult</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Adult</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Adult</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Adult</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Adult</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Adult</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Adult</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Adult</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Adult</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Adult</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Adult</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Adult</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Adult</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Adult</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Adult</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Adult</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Adult</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Adult</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Adult</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Adult</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Adult</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Adult</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Adult</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Adult</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Adult</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Youth</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Adult</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Adult</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Adult</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Youth</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Adult</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Youth</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Adult</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Adult</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Youth</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Adult</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Adult</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Adult</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Adult</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Adult</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Adult</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Adult</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Adult</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Adult</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Adult</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Adult</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_xlfn.IFS(L451&lt;31, "Youth",  L451&lt;54, "Adult", L451&gt;=54, "Old")</f>
        <v>Adult</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Adult</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Adult</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Adult</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Adult</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Adult</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Adult</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Adult</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Adult</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Adult</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Adult</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Adult</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Adult</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Adult</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Adult</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Adult</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Adult</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Youth</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Adult</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Adult</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Adult</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Adult</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Adult</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Adult</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Adult</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Adult</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Adult</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Adult</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Adult</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Adult</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Adult</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Adult</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Adult</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Adult</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Adult</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Adult</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Adult</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Adult</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Adult</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Adult</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Adult</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Adult</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Adult</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Adult</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Youth</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Adult</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Adult</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Adult</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Adult</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Adult</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Youth</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Adult</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Adult</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Adult</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_xlfn.IFS(L515&lt;31, "Youth",  L515&lt;54, "Adult", L515&gt;=54, "Old")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Adult</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Adult</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Adult</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Adult</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Adult</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Adult</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Adult</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Adult</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Adult</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Adult</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Youth</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Youth</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Youth</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Adult</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Adult</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Adult</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Adult</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Adult</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Adult</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Adult</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Adult</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Youth</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Adult</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Adult</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Youth</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Adult</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Adult</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Adult</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Adult</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Adult</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Adult</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Adult</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Adult</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Adult</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Adult</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Adult</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Adult</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Youth</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Youth</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Adult</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Adult</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Adult</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Youth</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Adult</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Adult</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_xlfn.IFS(L579&lt;31, "Youth",  L579&lt;54, "Adult", L579&gt;=54, "Old")</f>
        <v>Adult</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Adult</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Youth</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Adult</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Adult</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Adult</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Adult</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Adult</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Adult</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Adult</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Adult</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Adult</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Adult</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Adult</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Adult</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Adult</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Adult</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Adult</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Youth</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Adult</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Adult</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Adult</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Adult</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Adult</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Adult</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Adult</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Youth</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Adult</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Adult</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Adult</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Adult</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Adult</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Adult</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Youth</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Adult</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Adult</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Youth</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Youth</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Adult</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Adult</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Youth</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Adult</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Adult</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Adult</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Adult</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Adult</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Youth</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_xlfn.IFS(L643&lt;31, "Youth",  L643&lt;54, "Adult", L643&gt;=54, "Old")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Adult</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Adult</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Adult</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Adult</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Adult</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Adult</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Adult</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Adult</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Adult</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Adult</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Adult</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Adult</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Adult</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Adult</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Adult</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Adult</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Youth</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Adult</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Adult</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Adult</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Adult</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Adult</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Adult</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Adult</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Adult</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Youth</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Adult</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Adult</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Adult</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Adult</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Adult</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Adult</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Adult</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Adult</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Adult</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Adult</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Adult</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Adult</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Youth</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Youth</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Youth</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Adult</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Adult</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Adult</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Adult</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Adult</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Adult</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Youth</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Youth</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Adult</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Adult</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Youth</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Adult</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Adult</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Adult</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_xlfn.IFS(L707&lt;31, "Youth",  L707&lt;54, "Adult", L707&gt;=54, "Old")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Adult</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Adult</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Adult</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Adult</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Youth</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Adult</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Adult</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Adult</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Adult</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Adult</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Adult</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Adult</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Adult</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Adult</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Adult</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Adult</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Adult</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Youth</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Adult</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Adult</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Adult</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Adult</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Adult</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Adult</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Youth</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Adult</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Adult</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Adult</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Youth</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Adult</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Youth</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Adult</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Adult</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Adult</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Adult</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Adult</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Adult</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Youth</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Adult</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Adult</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Adult</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Adult</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Adult</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Adult</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Adult</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Adult</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Youth</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Adult</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Adult</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Adult</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_xlfn.IFS(L771&lt;31, "Youth",  L771&lt;54, "Adult", L771&gt;=54, "Old")</f>
        <v>Adult</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Adult</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Adult</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Adult</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Adult</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Youth</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Adult</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Adult</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Adult</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Adult</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Adult</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Adult</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Youth</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Adult</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Adult</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Adult</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Adult</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Youth</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Adult</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Adult</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Adult</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Youth</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Youth</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Adult</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Adult</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Youth</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Youth</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Youth</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Adult</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Adult</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Adult</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Adult</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Adult</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Adult</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Adult</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Youth</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Adult</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Adult</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Youth</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Youth</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Adult</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Adult</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Adult</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Adult</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Adult</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Adult</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Adult</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Adult</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Youth</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Adult</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Adult</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Adult</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_xlfn.IFS(L835&lt;31, "Youth",  L835&lt;54, "Adult", L835&gt;=54, "Old")</f>
        <v>Adult</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Adult</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Youth</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Adult</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Adult</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Adult</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Adult</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Adult</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Adult</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Adult</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Youth</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Adult</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Adult</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Adult</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Adult</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Adult</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Adult</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Youth</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Adult</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Adult</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Adult</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Adult</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Adult</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Adult</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Adult</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Adult</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Adult</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Adult</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Adult</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Adult</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Adult</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Adult</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Adult</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Adult</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Youth</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Adult</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Adult</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Adult</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Adult</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Adult</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Adult</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Adult</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Adult</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Adult</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Adult</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Adult</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Adult</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Adult</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Adult</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_xlfn.IFS(L899&lt;31, "Youth",  L899&lt;54, "Adult", L899&gt;=54, "Old")</f>
        <v>Youth</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Adult</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Adult</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Adult</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Adult</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Adult</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Adult</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Adult</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Adult</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Adult</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Adult</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Adult</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Adult</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Adult</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Adult</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Adult</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Adult</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Adult</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Adult</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Adult</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Adult</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Adult</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Adult</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Adult</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Adult</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Adult</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Adult</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Youth</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Youth</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Adult</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Adult</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Youth</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Adult</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Adult</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Adult</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Adult</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Adult</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Adult</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Adult</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Adult</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Adult</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Adult</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Adult</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Youth</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Adult</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Adult</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Adult</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Youth</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Adult</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Adult</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Adult</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_xlfn.IFS(L963&lt;31, "Youth",  L963&lt;54, "Adult", L963&gt;=54, "Old")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Adult</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Adult</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Youth</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Adult</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Adult</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Adult</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Adult</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Adult</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Adult</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Adult</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Adult</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Adult</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Adult</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Adult</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Adult</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Adult</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Adult</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Adult</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Adult</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Youth</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Adult</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Adult</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Adult</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Adult</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Adult</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Adult</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Adult</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Adult</v>
      </c>
      <c r="N1001" t="s">
        <v>15</v>
      </c>
    </row>
  </sheetData>
  <autoFilter ref="A1:N1001" xr:uid="{BC1CEDD4-21B4-4ABE-8DA8-6DAD6DFC47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1C9B-F654-435D-9734-0FE9991EA0FC}">
  <dimension ref="A3:D45"/>
  <sheetViews>
    <sheetView zoomScale="55" zoomScaleNormal="55" workbookViewId="0">
      <selection activeCell="B45" sqref="B45"/>
    </sheetView>
  </sheetViews>
  <sheetFormatPr defaultRowHeight="14.4" x14ac:dyDescent="0.3"/>
  <cols>
    <col min="1" max="1" width="30" bestFit="1" customWidth="1"/>
    <col min="2" max="2" width="22.33203125" bestFit="1" customWidth="1"/>
    <col min="3" max="3" width="6" bestFit="1" customWidth="1"/>
    <col min="4" max="4" width="14.88671875" bestFit="1" customWidth="1"/>
  </cols>
  <sheetData>
    <row r="3" spans="1:4" x14ac:dyDescent="0.3">
      <c r="A3" s="3" t="s">
        <v>43</v>
      </c>
      <c r="B3" s="3" t="s">
        <v>44</v>
      </c>
    </row>
    <row r="4" spans="1:4" x14ac:dyDescent="0.3">
      <c r="A4" s="3" t="s">
        <v>41</v>
      </c>
      <c r="B4" t="s">
        <v>18</v>
      </c>
      <c r="C4" t="s">
        <v>15</v>
      </c>
      <c r="D4" t="s">
        <v>42</v>
      </c>
    </row>
    <row r="5" spans="1:4" x14ac:dyDescent="0.3">
      <c r="A5" s="4" t="s">
        <v>38</v>
      </c>
      <c r="B5" s="5">
        <v>70588.23529411765</v>
      </c>
      <c r="C5" s="5">
        <v>64705.882352941175</v>
      </c>
      <c r="D5" s="5">
        <v>67647.058823529413</v>
      </c>
    </row>
    <row r="6" spans="1:4" x14ac:dyDescent="0.3">
      <c r="A6" s="4" t="s">
        <v>39</v>
      </c>
      <c r="B6" s="5">
        <v>97500</v>
      </c>
      <c r="C6" s="5">
        <v>78750</v>
      </c>
      <c r="D6" s="5">
        <v>85000</v>
      </c>
    </row>
    <row r="7" spans="1:4" x14ac:dyDescent="0.3">
      <c r="A7" s="4" t="s">
        <v>42</v>
      </c>
      <c r="B7" s="5">
        <v>75714.28571428571</v>
      </c>
      <c r="C7" s="5">
        <v>69200</v>
      </c>
      <c r="D7" s="5">
        <v>72173.913043478256</v>
      </c>
    </row>
    <row r="22" spans="1:4" x14ac:dyDescent="0.3">
      <c r="A22" s="3" t="s">
        <v>45</v>
      </c>
      <c r="B22" s="3" t="s">
        <v>44</v>
      </c>
    </row>
    <row r="23" spans="1:4" x14ac:dyDescent="0.3">
      <c r="A23" s="3" t="s">
        <v>41</v>
      </c>
      <c r="B23" t="s">
        <v>18</v>
      </c>
      <c r="C23" t="s">
        <v>15</v>
      </c>
      <c r="D23" t="s">
        <v>42</v>
      </c>
    </row>
    <row r="24" spans="1:4" x14ac:dyDescent="0.3">
      <c r="A24" s="4" t="s">
        <v>16</v>
      </c>
      <c r="B24" s="7">
        <v>8</v>
      </c>
      <c r="C24" s="7">
        <v>5</v>
      </c>
      <c r="D24" s="7">
        <v>13</v>
      </c>
    </row>
    <row r="25" spans="1:4" x14ac:dyDescent="0.3">
      <c r="A25" s="4" t="s">
        <v>26</v>
      </c>
      <c r="B25" s="7">
        <v>7</v>
      </c>
      <c r="C25" s="7">
        <v>4</v>
      </c>
      <c r="D25" s="7">
        <v>11</v>
      </c>
    </row>
    <row r="26" spans="1:4" x14ac:dyDescent="0.3">
      <c r="A26" s="4" t="s">
        <v>22</v>
      </c>
      <c r="B26" s="7">
        <v>1</v>
      </c>
      <c r="C26" s="7">
        <v>9</v>
      </c>
      <c r="D26" s="7">
        <v>10</v>
      </c>
    </row>
    <row r="27" spans="1:4" x14ac:dyDescent="0.3">
      <c r="A27" s="4" t="s">
        <v>23</v>
      </c>
      <c r="B27" s="7">
        <v>3</v>
      </c>
      <c r="C27" s="7">
        <v>4</v>
      </c>
      <c r="D27" s="7">
        <v>7</v>
      </c>
    </row>
    <row r="28" spans="1:4" x14ac:dyDescent="0.3">
      <c r="A28" s="4" t="s">
        <v>46</v>
      </c>
      <c r="B28" s="7">
        <v>2</v>
      </c>
      <c r="C28" s="7">
        <v>3</v>
      </c>
      <c r="D28" s="7">
        <v>5</v>
      </c>
    </row>
    <row r="29" spans="1:4" x14ac:dyDescent="0.3">
      <c r="A29" s="4" t="s">
        <v>42</v>
      </c>
      <c r="B29" s="7">
        <v>21</v>
      </c>
      <c r="C29" s="7">
        <v>25</v>
      </c>
      <c r="D29" s="7">
        <v>46</v>
      </c>
    </row>
    <row r="41" spans="1:4" x14ac:dyDescent="0.3">
      <c r="A41" s="3" t="s">
        <v>45</v>
      </c>
      <c r="B41" s="3" t="s">
        <v>44</v>
      </c>
    </row>
    <row r="42" spans="1:4" x14ac:dyDescent="0.3">
      <c r="A42" s="3" t="s">
        <v>41</v>
      </c>
      <c r="B42" t="s">
        <v>18</v>
      </c>
      <c r="C42" t="s">
        <v>15</v>
      </c>
      <c r="D42" t="s">
        <v>42</v>
      </c>
    </row>
    <row r="43" spans="1:4" x14ac:dyDescent="0.3">
      <c r="A43" s="4" t="s">
        <v>47</v>
      </c>
      <c r="B43" s="7">
        <v>15</v>
      </c>
      <c r="C43" s="7">
        <v>21</v>
      </c>
      <c r="D43" s="7">
        <v>36</v>
      </c>
    </row>
    <row r="44" spans="1:4" x14ac:dyDescent="0.3">
      <c r="A44" s="4" t="s">
        <v>48</v>
      </c>
      <c r="B44" s="7">
        <v>6</v>
      </c>
      <c r="C44" s="7">
        <v>4</v>
      </c>
      <c r="D44" s="7">
        <v>10</v>
      </c>
    </row>
    <row r="45" spans="1:4" x14ac:dyDescent="0.3">
      <c r="A45" s="4" t="s">
        <v>42</v>
      </c>
      <c r="B45" s="7">
        <v>21</v>
      </c>
      <c r="C45" s="7">
        <v>25</v>
      </c>
      <c r="D45" s="7">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5ABF-DAFC-4129-A7C3-C4DE9F4FA6A6}">
  <dimension ref="A1:P2"/>
  <sheetViews>
    <sheetView showGridLines="0" tabSelected="1" zoomScale="70" zoomScaleNormal="70" workbookViewId="0">
      <selection activeCell="L34" sqref="L34"/>
    </sheetView>
  </sheetViews>
  <sheetFormatPr defaultRowHeight="14.4" x14ac:dyDescent="0.3"/>
  <sheetData>
    <row r="1" spans="1:16" ht="14.4" customHeight="1" x14ac:dyDescent="0.3">
      <c r="A1" s="6" t="s">
        <v>49</v>
      </c>
      <c r="B1" s="6"/>
      <c r="C1" s="6"/>
      <c r="D1" s="6"/>
      <c r="E1" s="6"/>
      <c r="F1" s="6"/>
      <c r="G1" s="6"/>
      <c r="H1" s="6"/>
      <c r="I1" s="6"/>
      <c r="J1" s="6"/>
      <c r="K1" s="6"/>
      <c r="L1" s="6"/>
      <c r="M1" s="6"/>
      <c r="N1" s="6"/>
      <c r="O1" s="6"/>
      <c r="P1" s="6"/>
    </row>
    <row r="2" spans="1:16" ht="14.4" customHeight="1" x14ac:dyDescent="0.3">
      <c r="A2" s="6"/>
      <c r="B2" s="6"/>
      <c r="C2" s="6"/>
      <c r="D2" s="6"/>
      <c r="E2" s="6"/>
      <c r="F2" s="6"/>
      <c r="G2" s="6"/>
      <c r="H2" s="6"/>
      <c r="I2" s="6"/>
      <c r="J2" s="6"/>
      <c r="K2" s="6"/>
      <c r="L2" s="6"/>
      <c r="M2" s="6"/>
      <c r="N2" s="6"/>
      <c r="O2" s="6"/>
      <c r="P2" s="6"/>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Aashish Uprety</cp:lastModifiedBy>
  <dcterms:created xsi:type="dcterms:W3CDTF">2022-03-18T02:50:57Z</dcterms:created>
  <dcterms:modified xsi:type="dcterms:W3CDTF">2026-01-11T08:40:08Z</dcterms:modified>
</cp:coreProperties>
</file>